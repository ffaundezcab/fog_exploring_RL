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aarc\projects\navigatingthefog\fog_exploring_RL\docs\"/>
    </mc:Choice>
  </mc:AlternateContent>
  <xr:revisionPtr revIDLastSave="0" documentId="13_ncr:1_{6FD1BD57-4587-4DD9-BF1F-C8978EAD7DD5}" xr6:coauthVersionLast="47" xr6:coauthVersionMax="47" xr10:uidLastSave="{00000000-0000-0000-0000-000000000000}"/>
  <bookViews>
    <workbookView xWindow="-110" yWindow="-110" windowWidth="25820" windowHeight="15500" xr2:uid="{71F5B528-C001-4018-ADDB-F2B1402DF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22" i="1" l="1"/>
  <c r="AN22" i="1"/>
  <c r="AN21" i="1"/>
  <c r="AO21" i="1"/>
  <c r="AP21" i="1"/>
  <c r="AQ21" i="1"/>
  <c r="AR21" i="1"/>
  <c r="AM21" i="1"/>
  <c r="AN20" i="1"/>
  <c r="AO20" i="1"/>
  <c r="AP20" i="1"/>
  <c r="AQ20" i="1"/>
  <c r="AR20" i="1"/>
  <c r="AM20" i="1"/>
  <c r="AP17" i="1"/>
  <c r="AO17" i="1"/>
  <c r="AP14" i="1"/>
  <c r="AQ12" i="1"/>
  <c r="AP12" i="1"/>
  <c r="AM11" i="1"/>
  <c r="AN11" i="1"/>
  <c r="AO11" i="1"/>
  <c r="AP11" i="1"/>
  <c r="AQ11" i="1"/>
  <c r="AR11" i="1"/>
  <c r="AK6" i="1"/>
  <c r="AL6" i="1"/>
  <c r="AM6" i="1"/>
  <c r="AJ6" i="1"/>
  <c r="AK5" i="1"/>
  <c r="AL5" i="1"/>
  <c r="AM5" i="1"/>
  <c r="AJ5" i="1"/>
  <c r="AJ14" i="1"/>
  <c r="AJ13" i="1"/>
  <c r="AJ12" i="1"/>
</calcChain>
</file>

<file path=xl/sharedStrings.xml><?xml version="1.0" encoding="utf-8"?>
<sst xmlns="http://schemas.openxmlformats.org/spreadsheetml/2006/main" count="44" uniqueCount="28">
  <si>
    <t>O</t>
  </si>
  <si>
    <t>X</t>
  </si>
  <si>
    <t>0.7</t>
  </si>
  <si>
    <t>0.3</t>
  </si>
  <si>
    <t>1er</t>
  </si>
  <si>
    <t>2do</t>
  </si>
  <si>
    <t>3er</t>
  </si>
  <si>
    <t>4to</t>
  </si>
  <si>
    <t>% of elements</t>
  </si>
  <si>
    <t>No traps</t>
  </si>
  <si>
    <t>% of traps</t>
  </si>
  <si>
    <t>% of obstacles</t>
  </si>
  <si>
    <t>Presence</t>
  </si>
  <si>
    <t>Proximity</t>
  </si>
  <si>
    <t>Pathing</t>
  </si>
  <si>
    <t>A</t>
  </si>
  <si>
    <t>!!!!</t>
  </si>
  <si>
    <t>!!!</t>
  </si>
  <si>
    <t>!!</t>
  </si>
  <si>
    <t>!</t>
  </si>
  <si>
    <t>trap proximity index</t>
  </si>
  <si>
    <t>obstacle proximity index</t>
  </si>
  <si>
    <t>TPI</t>
  </si>
  <si>
    <t>OPI</t>
  </si>
  <si>
    <t>could work but the set (1, 4) has the same proximity measure as (2,3)</t>
  </si>
  <si>
    <t>expo</t>
  </si>
  <si>
    <t>clear path oustide view</t>
  </si>
  <si>
    <t>connection to other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</si>
</sst>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1" applyNumberFormat="1" applyFont="1"/>
    <xf numFmtId="10" fontId="0" fillId="0" borderId="0" xfId="1" applyNumberFormat="1" applyFont="1"/>
    <xf numFmtId="0" fontId="0" fillId="0" borderId="0" xfId="0" applyAlignment="1">
      <alignment horizontal="center" vertical="center"/>
    </xf>
    <xf numFmtId="9" fontId="0" fillId="0" borderId="0" xfId="0" applyNumberFormat="1"/>
    <xf numFmtId="10" fontId="0" fillId="0" borderId="0" xfId="0" applyNumberFormat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quotePrefix="1" applyAlignment="1">
      <alignment horizontal="left"/>
    </xf>
    <xf numFmtId="0" fontId="0" fillId="0" borderId="0" xfId="0" quotePrefix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A9F1-F841-4A63-8FA4-D21BBC38A6EA}">
  <dimension ref="C3:AR40"/>
  <sheetViews>
    <sheetView tabSelected="1" topLeftCell="V3" zoomScale="127" workbookViewId="0">
      <selection activeCell="AL18" sqref="AL18"/>
    </sheetView>
  </sheetViews>
  <sheetFormatPr baseColWidth="10" defaultRowHeight="14.5" x14ac:dyDescent="0.35"/>
  <cols>
    <col min="1" max="10" width="2.6328125" customWidth="1"/>
    <col min="12" max="21" width="2.6328125" customWidth="1"/>
    <col min="23" max="33" width="2.6328125" customWidth="1"/>
    <col min="35" max="35" width="20.26953125" bestFit="1" customWidth="1"/>
  </cols>
  <sheetData>
    <row r="3" spans="3:44" x14ac:dyDescent="0.35">
      <c r="C3" s="2"/>
      <c r="D3" s="2"/>
      <c r="E3" s="2"/>
      <c r="F3" s="2"/>
      <c r="G3" s="2"/>
      <c r="O3" s="2"/>
      <c r="P3" s="2"/>
      <c r="Q3" s="2"/>
      <c r="R3" s="2"/>
      <c r="S3" s="2"/>
      <c r="Z3" s="2" t="s">
        <v>1</v>
      </c>
      <c r="AA3" s="2"/>
      <c r="AB3" s="2"/>
      <c r="AC3" s="2"/>
      <c r="AD3" s="2" t="s">
        <v>1</v>
      </c>
      <c r="AH3" s="4"/>
      <c r="AI3" t="s">
        <v>2</v>
      </c>
      <c r="AJ3" s="8">
        <v>0.9</v>
      </c>
      <c r="AK3" s="8">
        <v>0.5</v>
      </c>
      <c r="AL3" s="8">
        <v>0.3</v>
      </c>
      <c r="AM3" s="8">
        <v>0.1</v>
      </c>
      <c r="AN3" s="8">
        <v>0</v>
      </c>
    </row>
    <row r="4" spans="3:44" x14ac:dyDescent="0.35">
      <c r="C4" s="2"/>
      <c r="D4" s="2"/>
      <c r="E4" s="2"/>
      <c r="F4" s="2"/>
      <c r="G4" s="2"/>
      <c r="O4" s="2"/>
      <c r="P4" s="2"/>
      <c r="Q4" s="2"/>
      <c r="R4" s="2"/>
      <c r="S4" s="2"/>
      <c r="Z4" s="2"/>
      <c r="AA4" s="4"/>
      <c r="AB4" s="4"/>
      <c r="AC4" s="4"/>
      <c r="AD4" s="2"/>
      <c r="AH4" s="2"/>
      <c r="AI4" t="s">
        <v>3</v>
      </c>
      <c r="AJ4" s="8">
        <v>1</v>
      </c>
      <c r="AK4" s="8">
        <v>2</v>
      </c>
      <c r="AL4" s="8">
        <v>3</v>
      </c>
      <c r="AM4" s="8">
        <v>4</v>
      </c>
      <c r="AN4" s="8" t="s">
        <v>9</v>
      </c>
    </row>
    <row r="5" spans="3:44" x14ac:dyDescent="0.35">
      <c r="C5" s="2"/>
      <c r="D5" s="2"/>
      <c r="E5" s="1"/>
      <c r="F5" s="2"/>
      <c r="G5" s="2"/>
      <c r="O5" s="2"/>
      <c r="P5" s="2"/>
      <c r="Q5" s="1"/>
      <c r="R5" s="2"/>
      <c r="S5" s="2"/>
      <c r="Z5" s="2"/>
      <c r="AA5" s="4"/>
      <c r="AB5" s="1"/>
      <c r="AC5" s="4" t="s">
        <v>0</v>
      </c>
      <c r="AD5" s="2"/>
      <c r="AJ5">
        <f>EXP(1-AJ3)</f>
        <v>1.1051709180756475</v>
      </c>
      <c r="AK5">
        <f t="shared" ref="AK5:AM5" si="0">EXP(1-AK3)</f>
        <v>1.6487212707001282</v>
      </c>
      <c r="AL5">
        <f t="shared" si="0"/>
        <v>2.0137527074704766</v>
      </c>
      <c r="AM5">
        <f t="shared" si="0"/>
        <v>2.4596031111569499</v>
      </c>
    </row>
    <row r="6" spans="3:44" x14ac:dyDescent="0.35">
      <c r="C6" s="2"/>
      <c r="D6" s="2"/>
      <c r="E6" s="2"/>
      <c r="F6" s="2"/>
      <c r="G6" s="2"/>
      <c r="O6" s="2"/>
      <c r="P6" s="2"/>
      <c r="Q6" s="2"/>
      <c r="R6" s="2"/>
      <c r="S6" s="2"/>
      <c r="Z6" s="2" t="s">
        <v>1</v>
      </c>
      <c r="AA6" s="4"/>
      <c r="AB6" s="4" t="s">
        <v>1</v>
      </c>
      <c r="AC6" s="4" t="s">
        <v>0</v>
      </c>
      <c r="AD6" s="2"/>
      <c r="AJ6">
        <f>AJ5/EXP(4)</f>
        <v>2.0241911445804388E-2</v>
      </c>
      <c r="AK6">
        <f t="shared" ref="AK6:AM6" si="1">AK5/EXP(4)</f>
        <v>3.0197383422318504E-2</v>
      </c>
      <c r="AL6">
        <f t="shared" si="1"/>
        <v>3.6883167401240008E-2</v>
      </c>
      <c r="AM6">
        <f t="shared" si="1"/>
        <v>4.5049202393557815E-2</v>
      </c>
    </row>
    <row r="7" spans="3:44" x14ac:dyDescent="0.35">
      <c r="C7" s="2"/>
      <c r="D7" s="2"/>
      <c r="E7" s="2"/>
      <c r="F7" s="2"/>
      <c r="G7" s="2"/>
      <c r="O7" s="2"/>
      <c r="P7" s="2"/>
      <c r="Q7" s="2"/>
      <c r="R7" s="2"/>
      <c r="S7" s="2"/>
      <c r="Z7" s="2"/>
      <c r="AA7" s="2" t="s">
        <v>1</v>
      </c>
      <c r="AB7" s="2"/>
      <c r="AC7" s="2"/>
      <c r="AD7" s="2"/>
    </row>
    <row r="8" spans="3:44" x14ac:dyDescent="0.35">
      <c r="AB8">
        <v>2</v>
      </c>
      <c r="AN8" t="s">
        <v>24</v>
      </c>
    </row>
    <row r="9" spans="3:44" x14ac:dyDescent="0.35">
      <c r="Z9" s="6"/>
      <c r="AA9" s="7"/>
      <c r="AB9" s="7"/>
      <c r="AC9" s="7"/>
      <c r="AD9" s="7" t="s">
        <v>1</v>
      </c>
      <c r="AH9" t="s">
        <v>4</v>
      </c>
      <c r="AI9" s="8">
        <v>6</v>
      </c>
      <c r="AM9" s="8">
        <v>1</v>
      </c>
      <c r="AN9" s="8">
        <v>2</v>
      </c>
      <c r="AO9" s="8">
        <v>2</v>
      </c>
      <c r="AP9" s="8">
        <v>3</v>
      </c>
      <c r="AQ9" s="8">
        <v>3</v>
      </c>
      <c r="AR9" s="8">
        <v>4</v>
      </c>
    </row>
    <row r="10" spans="3:44" x14ac:dyDescent="0.35">
      <c r="C10" s="3"/>
      <c r="D10" s="2"/>
      <c r="E10" s="2"/>
      <c r="F10" s="2"/>
      <c r="G10" s="3"/>
      <c r="O10" s="3"/>
      <c r="P10" s="2"/>
      <c r="Q10" s="2"/>
      <c r="R10" s="2"/>
      <c r="S10" s="3"/>
      <c r="Z10" s="6"/>
      <c r="AA10" s="6" t="s">
        <v>1</v>
      </c>
      <c r="AB10" s="7"/>
      <c r="AC10" s="7"/>
      <c r="AD10" s="5"/>
      <c r="AI10" s="8" t="s">
        <v>1</v>
      </c>
      <c r="AJ10">
        <v>2</v>
      </c>
      <c r="AM10" s="8" t="s">
        <v>16</v>
      </c>
      <c r="AN10" s="8" t="s">
        <v>17</v>
      </c>
      <c r="AO10" s="8" t="s">
        <v>17</v>
      </c>
      <c r="AP10" s="8" t="s">
        <v>18</v>
      </c>
      <c r="AQ10" s="8" t="s">
        <v>18</v>
      </c>
      <c r="AR10" s="8" t="s">
        <v>19</v>
      </c>
    </row>
    <row r="11" spans="3:44" x14ac:dyDescent="0.35">
      <c r="C11" s="2"/>
      <c r="D11" s="2"/>
      <c r="E11" s="2"/>
      <c r="F11" s="2"/>
      <c r="G11" s="2"/>
      <c r="O11" s="2"/>
      <c r="P11" s="2"/>
      <c r="Q11" s="2"/>
      <c r="R11" s="2"/>
      <c r="S11" s="2"/>
      <c r="Y11">
        <v>1</v>
      </c>
      <c r="Z11" s="6"/>
      <c r="AA11" s="6"/>
      <c r="AB11" s="1"/>
      <c r="AC11" s="5" t="s">
        <v>0</v>
      </c>
      <c r="AD11" s="5"/>
      <c r="AE11">
        <v>3</v>
      </c>
      <c r="AI11" s="9" t="s">
        <v>0</v>
      </c>
      <c r="AJ11" s="10">
        <v>0</v>
      </c>
      <c r="AK11" s="8"/>
      <c r="AM11" s="8">
        <f t="shared" ref="AM11:AQ11" si="2">(5-AM9)/4</f>
        <v>1</v>
      </c>
      <c r="AN11" s="8">
        <f t="shared" si="2"/>
        <v>0.75</v>
      </c>
      <c r="AO11" s="8">
        <f t="shared" si="2"/>
        <v>0.75</v>
      </c>
      <c r="AP11" s="8">
        <f t="shared" si="2"/>
        <v>0.5</v>
      </c>
      <c r="AQ11" s="8">
        <f t="shared" si="2"/>
        <v>0.5</v>
      </c>
      <c r="AR11" s="8">
        <f t="shared" ref="AQ11:AR11" si="3">(5-AR9)/4</f>
        <v>0.25</v>
      </c>
    </row>
    <row r="12" spans="3:44" x14ac:dyDescent="0.35">
      <c r="C12" s="2"/>
      <c r="D12" s="2"/>
      <c r="E12" s="1"/>
      <c r="F12" s="2"/>
      <c r="G12" s="2"/>
      <c r="O12" s="2"/>
      <c r="P12" s="2"/>
      <c r="Q12" s="1"/>
      <c r="R12" s="2"/>
      <c r="S12" s="2"/>
      <c r="Z12" s="6" t="s">
        <v>1</v>
      </c>
      <c r="AA12" s="4"/>
      <c r="AB12" s="4" t="s">
        <v>1</v>
      </c>
      <c r="AC12" s="5" t="s">
        <v>0</v>
      </c>
      <c r="AD12" s="5"/>
      <c r="AI12" s="17" t="s">
        <v>8</v>
      </c>
      <c r="AJ12" s="11">
        <f>SUM(AJ10:AJ11)/AI9</f>
        <v>0.33333333333333331</v>
      </c>
      <c r="AK12" s="13" t="s">
        <v>12</v>
      </c>
      <c r="AP12">
        <f>(AP11+AR11+AM11)/3</f>
        <v>0.58333333333333337</v>
      </c>
      <c r="AQ12">
        <f>(AQ11+AR11)/2</f>
        <v>0.375</v>
      </c>
    </row>
    <row r="13" spans="3:44" x14ac:dyDescent="0.35">
      <c r="C13" s="2"/>
      <c r="D13" s="2"/>
      <c r="E13" s="2"/>
      <c r="F13" s="2"/>
      <c r="G13" s="2"/>
      <c r="O13" s="2"/>
      <c r="P13" s="2"/>
      <c r="Q13" s="2"/>
      <c r="R13" s="2"/>
      <c r="S13" s="2"/>
      <c r="Z13" s="4"/>
      <c r="AA13" s="4" t="s">
        <v>1</v>
      </c>
      <c r="AB13" s="4"/>
      <c r="AC13" s="4"/>
      <c r="AD13" s="5"/>
      <c r="AI13" s="18" t="s">
        <v>10</v>
      </c>
      <c r="AJ13" s="11">
        <f>AJ10/AI9</f>
        <v>0.33333333333333331</v>
      </c>
      <c r="AK13" s="13"/>
    </row>
    <row r="14" spans="3:44" x14ac:dyDescent="0.35">
      <c r="C14" s="3"/>
      <c r="D14" s="2"/>
      <c r="E14" s="2"/>
      <c r="F14" s="2"/>
      <c r="G14" s="3"/>
      <c r="O14" s="3"/>
      <c r="P14" s="2"/>
      <c r="Q14" s="2"/>
      <c r="R14" s="2"/>
      <c r="S14" s="3"/>
      <c r="AB14">
        <v>4</v>
      </c>
      <c r="AI14" s="19" t="s">
        <v>11</v>
      </c>
      <c r="AJ14" s="12">
        <f>AJ11/AI9</f>
        <v>0</v>
      </c>
      <c r="AK14" s="13"/>
      <c r="AP14">
        <f>(AO11+AQ11)/2</f>
        <v>0.625</v>
      </c>
    </row>
    <row r="15" spans="3:44" x14ac:dyDescent="0.35">
      <c r="AH15" t="s">
        <v>22</v>
      </c>
      <c r="AI15" s="16" t="s">
        <v>20</v>
      </c>
      <c r="AJ15" s="15">
        <v>1</v>
      </c>
      <c r="AK15" s="13" t="s">
        <v>13</v>
      </c>
    </row>
    <row r="16" spans="3:44" x14ac:dyDescent="0.35">
      <c r="Z16" s="6">
        <v>4</v>
      </c>
      <c r="AH16" t="s">
        <v>23</v>
      </c>
      <c r="AI16" s="16" t="s">
        <v>21</v>
      </c>
      <c r="AJ16" s="15">
        <v>0</v>
      </c>
      <c r="AK16" s="13"/>
    </row>
    <row r="17" spans="3:44" x14ac:dyDescent="0.35">
      <c r="C17" s="3"/>
      <c r="D17" s="3"/>
      <c r="E17" s="2"/>
      <c r="F17" s="3"/>
      <c r="G17" s="3"/>
      <c r="O17" s="3"/>
      <c r="P17" s="2"/>
      <c r="Q17" s="3"/>
      <c r="R17" s="2"/>
      <c r="S17" s="3"/>
      <c r="Z17" s="6">
        <v>3</v>
      </c>
      <c r="AA17" s="6">
        <v>2</v>
      </c>
      <c r="AI17" t="s">
        <v>26</v>
      </c>
      <c r="AJ17" s="14"/>
      <c r="AK17" s="13" t="s">
        <v>14</v>
      </c>
      <c r="AO17">
        <f>AM11+AR11</f>
        <v>1.25</v>
      </c>
      <c r="AP17">
        <f>AO17/2</f>
        <v>0.625</v>
      </c>
    </row>
    <row r="18" spans="3:44" x14ac:dyDescent="0.35">
      <c r="C18" s="3"/>
      <c r="D18" s="2"/>
      <c r="E18" s="2"/>
      <c r="F18" s="2"/>
      <c r="G18" s="3"/>
      <c r="O18" s="2"/>
      <c r="P18" s="2"/>
      <c r="Q18" s="2"/>
      <c r="R18" s="2"/>
      <c r="S18" s="2"/>
      <c r="Z18" s="6">
        <v>2</v>
      </c>
      <c r="AA18" s="6">
        <v>1</v>
      </c>
      <c r="AB18" t="s">
        <v>15</v>
      </c>
      <c r="AI18" t="s">
        <v>27</v>
      </c>
      <c r="AK18" s="13"/>
    </row>
    <row r="19" spans="3:44" x14ac:dyDescent="0.35">
      <c r="C19" s="2"/>
      <c r="D19" s="2"/>
      <c r="E19" s="1"/>
      <c r="F19" s="2"/>
      <c r="G19" s="2"/>
      <c r="O19" s="3"/>
      <c r="P19" s="2"/>
      <c r="Q19" s="1"/>
      <c r="R19" s="2"/>
      <c r="S19" s="3"/>
      <c r="Z19" s="6">
        <v>3</v>
      </c>
      <c r="AK19" s="20"/>
    </row>
    <row r="20" spans="3:44" x14ac:dyDescent="0.35">
      <c r="C20" s="3"/>
      <c r="D20" s="2"/>
      <c r="E20" s="2"/>
      <c r="F20" s="2"/>
      <c r="G20" s="3"/>
      <c r="O20" s="2"/>
      <c r="P20" s="2"/>
      <c r="Q20" s="2"/>
      <c r="R20" s="2"/>
      <c r="S20" s="2"/>
      <c r="AK20" s="20"/>
      <c r="AL20" t="s">
        <v>25</v>
      </c>
      <c r="AM20">
        <f>POWER(EXP(1),-1*(AM9-1))</f>
        <v>1</v>
      </c>
      <c r="AN20">
        <f t="shared" ref="AN20:AR20" si="4">POWER(EXP(1),-1*(AN9-1))</f>
        <v>0.36787944117144233</v>
      </c>
      <c r="AO20">
        <f t="shared" si="4"/>
        <v>0.36787944117144233</v>
      </c>
      <c r="AP20">
        <f t="shared" si="4"/>
        <v>0.1353352832366127</v>
      </c>
      <c r="AQ20">
        <f t="shared" si="4"/>
        <v>0.1353352832366127</v>
      </c>
      <c r="AR20">
        <f t="shared" si="4"/>
        <v>4.9787068367863951E-2</v>
      </c>
    </row>
    <row r="21" spans="3:44" x14ac:dyDescent="0.35">
      <c r="C21" s="3"/>
      <c r="D21" s="3"/>
      <c r="E21" s="2"/>
      <c r="F21" s="3"/>
      <c r="G21" s="3"/>
      <c r="O21" s="3"/>
      <c r="P21" s="2"/>
      <c r="Q21" s="3"/>
      <c r="R21" s="2"/>
      <c r="S21" s="3"/>
      <c r="AH21" t="s">
        <v>5</v>
      </c>
      <c r="AM21">
        <f>1-AM20</f>
        <v>0</v>
      </c>
      <c r="AN21">
        <f t="shared" ref="AN21:AR21" si="5">1-AN20</f>
        <v>0.63212055882855767</v>
      </c>
      <c r="AO21">
        <f t="shared" si="5"/>
        <v>0.63212055882855767</v>
      </c>
      <c r="AP21">
        <f t="shared" si="5"/>
        <v>0.8646647167633873</v>
      </c>
      <c r="AQ21">
        <f t="shared" si="5"/>
        <v>0.8646647167633873</v>
      </c>
      <c r="AR21">
        <f t="shared" si="5"/>
        <v>0.95021293163213605</v>
      </c>
    </row>
    <row r="22" spans="3:44" x14ac:dyDescent="0.35">
      <c r="AH22" t="s">
        <v>6</v>
      </c>
      <c r="AM22">
        <f>1-AN22</f>
        <v>0.71613212769898293</v>
      </c>
      <c r="AN22">
        <f>AN21*AO21*AP21*AQ21*AR21</f>
        <v>0.28386787230101701</v>
      </c>
    </row>
    <row r="23" spans="3:44" x14ac:dyDescent="0.35">
      <c r="AH23" t="s">
        <v>7</v>
      </c>
    </row>
    <row r="24" spans="3:44" x14ac:dyDescent="0.35">
      <c r="C24" s="3"/>
      <c r="D24" s="3"/>
      <c r="E24" s="3"/>
      <c r="F24" s="3"/>
      <c r="G24" s="3"/>
      <c r="O24" s="3"/>
      <c r="P24" s="3"/>
      <c r="Q24" s="3"/>
      <c r="R24" s="3"/>
      <c r="S24" s="3"/>
    </row>
    <row r="25" spans="3:44" x14ac:dyDescent="0.35">
      <c r="C25" s="3"/>
      <c r="D25" s="2"/>
      <c r="E25" s="2"/>
      <c r="F25" s="2"/>
      <c r="G25" s="3"/>
      <c r="O25" s="2"/>
      <c r="P25" s="2"/>
      <c r="Q25" s="2"/>
      <c r="R25" s="2"/>
      <c r="S25" s="2"/>
    </row>
    <row r="26" spans="3:44" x14ac:dyDescent="0.35">
      <c r="C26" s="3"/>
      <c r="D26" s="2"/>
      <c r="E26" s="1"/>
      <c r="F26" s="2"/>
      <c r="G26" s="3"/>
      <c r="O26" s="3"/>
      <c r="P26" s="2"/>
      <c r="Q26" s="1"/>
      <c r="R26" s="2"/>
      <c r="S26" s="3"/>
    </row>
    <row r="27" spans="3:44" x14ac:dyDescent="0.35">
      <c r="C27" s="3"/>
      <c r="D27" s="2"/>
      <c r="E27" s="2"/>
      <c r="F27" s="2"/>
      <c r="G27" s="3"/>
      <c r="O27" s="2"/>
      <c r="P27" s="2"/>
      <c r="Q27" s="2"/>
      <c r="R27" s="2"/>
      <c r="S27" s="2"/>
    </row>
    <row r="28" spans="3:44" x14ac:dyDescent="0.35">
      <c r="C28" s="3"/>
      <c r="D28" s="3"/>
      <c r="E28" s="3"/>
      <c r="F28" s="3"/>
      <c r="G28" s="3"/>
      <c r="O28" s="3"/>
      <c r="P28" s="3"/>
      <c r="Q28" s="3"/>
      <c r="R28" s="3"/>
      <c r="S28" s="3"/>
    </row>
    <row r="29" spans="3:44" x14ac:dyDescent="0.35">
      <c r="O29" s="3"/>
      <c r="S29" s="3"/>
    </row>
    <row r="30" spans="3:44" x14ac:dyDescent="0.35">
      <c r="D30" s="3"/>
      <c r="E30" s="2"/>
      <c r="F30" s="3"/>
      <c r="O30" s="3"/>
      <c r="P30" s="2"/>
      <c r="Q30" s="2"/>
      <c r="R30" s="2"/>
      <c r="S30" s="3"/>
    </row>
    <row r="31" spans="3:44" x14ac:dyDescent="0.35">
      <c r="D31" s="2"/>
      <c r="E31" s="1"/>
      <c r="F31" s="2"/>
      <c r="O31" s="3"/>
      <c r="P31" s="2"/>
      <c r="Q31" s="1"/>
      <c r="R31" s="2"/>
      <c r="S31" s="3"/>
    </row>
    <row r="32" spans="3:44" x14ac:dyDescent="0.35">
      <c r="D32" s="3"/>
      <c r="E32" s="2"/>
      <c r="F32" s="3"/>
      <c r="O32" s="3"/>
      <c r="P32" s="2"/>
      <c r="Q32" s="2"/>
      <c r="R32" s="2"/>
      <c r="S32" s="3"/>
    </row>
    <row r="35" spans="4:18" x14ac:dyDescent="0.35">
      <c r="D35" s="3"/>
      <c r="E35" s="3"/>
      <c r="F35" s="3"/>
      <c r="P35" s="3"/>
      <c r="Q35" s="2"/>
      <c r="R35" s="3"/>
    </row>
    <row r="36" spans="4:18" x14ac:dyDescent="0.35">
      <c r="D36" s="3"/>
      <c r="E36" s="1"/>
      <c r="F36" s="3"/>
      <c r="P36" s="2"/>
      <c r="Q36" s="1"/>
      <c r="R36" s="2"/>
    </row>
    <row r="37" spans="4:18" x14ac:dyDescent="0.35">
      <c r="D37" s="3"/>
      <c r="E37" s="3"/>
      <c r="F37" s="3"/>
      <c r="P37" s="3"/>
      <c r="Q37" s="2"/>
      <c r="R37" s="3"/>
    </row>
    <row r="40" spans="4:18" x14ac:dyDescent="0.35">
      <c r="Q40" s="1"/>
    </row>
  </sheetData>
  <mergeCells count="3">
    <mergeCell ref="AK12:AK14"/>
    <mergeCell ref="AK15:AK16"/>
    <mergeCell ref="AK17:A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Antonio Faundez</dc:creator>
  <cp:lastModifiedBy>Franco Antonio Faundez</cp:lastModifiedBy>
  <dcterms:created xsi:type="dcterms:W3CDTF">2026-08-15T12:18:02Z</dcterms:created>
  <dcterms:modified xsi:type="dcterms:W3CDTF">2026-08-15T13:56:57Z</dcterms:modified>
</cp:coreProperties>
</file>